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aida\OneDrive\Documents\GitHub\Design_II_Group6\Trebuchet\"/>
    </mc:Choice>
  </mc:AlternateContent>
  <xr:revisionPtr revIDLastSave="0" documentId="8_{8DAFD980-D8C6-4329-8B6E-B7CFAFDF165E}" xr6:coauthVersionLast="47" xr6:coauthVersionMax="47" xr10:uidLastSave="{00000000-0000-0000-0000-000000000000}"/>
  <bookViews>
    <workbookView xWindow="28680" yWindow="-120" windowWidth="29040" windowHeight="15720" xr2:uid="{627483AD-4827-4563-AB6A-CF9CA3A9A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M4" i="1"/>
  <c r="K4" i="1"/>
  <c r="I4" i="1"/>
  <c r="G4" i="1"/>
  <c r="E63" i="1"/>
  <c r="D61" i="1"/>
  <c r="E61" i="1" s="1"/>
  <c r="D62" i="1"/>
  <c r="E62" i="1" s="1"/>
  <c r="D60" i="1"/>
  <c r="E60" i="1" s="1"/>
  <c r="D59" i="1"/>
  <c r="E59" i="1" s="1"/>
  <c r="D58" i="1"/>
  <c r="E58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29" i="1"/>
  <c r="E29" i="1" s="1"/>
  <c r="D30" i="1"/>
  <c r="E30" i="1" s="1"/>
  <c r="D31" i="1"/>
  <c r="D32" i="1"/>
  <c r="E32" i="1" s="1"/>
  <c r="D33" i="1"/>
  <c r="E33" i="1" s="1"/>
  <c r="D34" i="1"/>
  <c r="E34" i="1" s="1"/>
  <c r="D35" i="1"/>
  <c r="E35" i="1" s="1"/>
  <c r="D36" i="1"/>
  <c r="E36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D17" i="1"/>
  <c r="E17" i="1" s="1"/>
  <c r="D18" i="1"/>
  <c r="E18" i="1" s="1"/>
  <c r="D19" i="1"/>
  <c r="E19" i="1" s="1"/>
  <c r="D14" i="1"/>
  <c r="E14" i="1" s="1"/>
  <c r="D15" i="1"/>
  <c r="E15" i="1" s="1"/>
  <c r="D16" i="1"/>
  <c r="E16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4" i="1"/>
  <c r="E4" i="1" s="1"/>
  <c r="D5" i="1"/>
  <c r="E5" i="1" s="1"/>
  <c r="D3" i="1"/>
  <c r="E3" i="1" s="1"/>
  <c r="D2" i="1"/>
  <c r="E2" i="1" s="1"/>
  <c r="E31" i="1"/>
  <c r="E28" i="1"/>
  <c r="H4" i="1" l="1"/>
  <c r="L4" i="1"/>
  <c r="N4" i="1"/>
  <c r="J4" i="1"/>
</calcChain>
</file>

<file path=xl/sharedStrings.xml><?xml version="1.0" encoding="utf-8"?>
<sst xmlns="http://schemas.openxmlformats.org/spreadsheetml/2006/main" count="13" uniqueCount="7">
  <si>
    <t>AVERAGE</t>
  </si>
  <si>
    <t>DIST</t>
  </si>
  <si>
    <t>GRADE</t>
  </si>
  <si>
    <t>STDEV</t>
  </si>
  <si>
    <t>MEDIAN</t>
  </si>
  <si>
    <t>MODE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</si>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</sst>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2" xfId="0" applyBorder="1"/>
    <xf numFmtId="0" fontId="0" fillId="0" borderId="4" xfId="0" applyBorder="1"/>
    <xf numFmtId="9" fontId="0" fillId="0" borderId="5" xfId="1" applyFont="1" applyBorder="1"/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70" fontId="0" fillId="0" borderId="5" xfId="0" applyNumberForma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NumberFormat="1" applyBorder="1"/>
    <xf numFmtId="0" fontId="0" fillId="0" borderId="3" xfId="0" applyBorder="1"/>
    <xf numFmtId="0" fontId="0" fillId="0" borderId="18" xfId="0" applyBorder="1"/>
    <xf numFmtId="170" fontId="0" fillId="0" borderId="19" xfId="1" applyNumberFormat="1" applyFont="1" applyBorder="1"/>
    <xf numFmtId="0" fontId="0" fillId="0" borderId="4" xfId="0" applyNumberFormat="1" applyBorder="1"/>
    <xf numFmtId="0" fontId="0" fillId="0" borderId="1" xfId="0" applyBorder="1"/>
    <xf numFmtId="0" fontId="0" fillId="0" borderId="20" xfId="0" applyBorder="1" applyAlignment="1">
      <alignment horizontal="center"/>
    </xf>
    <xf numFmtId="0" fontId="0" fillId="0" borderId="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Launch dist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9.6121172353455825E-2"/>
                  <c:y val="-7.36654272382618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Sheet1!$B$2:$B$62</c:f>
              <c:numCache>
                <c:formatCode>General</c:formatCode>
                <c:ptCount val="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</c:numCache>
            </c:numRef>
          </c:xVal>
          <c:yVal>
            <c:numRef>
              <c:f>Sheet1!$C$2:$C$62</c:f>
              <c:numCache>
                <c:formatCode>General</c:formatCode>
                <c:ptCount val="61"/>
                <c:pt idx="0">
                  <c:v>115</c:v>
                </c:pt>
                <c:pt idx="1">
                  <c:v>95.8</c:v>
                </c:pt>
                <c:pt idx="2">
                  <c:v>78.900000000000006</c:v>
                </c:pt>
                <c:pt idx="3">
                  <c:v>76.5</c:v>
                </c:pt>
                <c:pt idx="4">
                  <c:v>74.099999999999994</c:v>
                </c:pt>
                <c:pt idx="5">
                  <c:v>71.599999999999994</c:v>
                </c:pt>
                <c:pt idx="6">
                  <c:v>55.5</c:v>
                </c:pt>
                <c:pt idx="7">
                  <c:v>55</c:v>
                </c:pt>
                <c:pt idx="8">
                  <c:v>51</c:v>
                </c:pt>
                <c:pt idx="9">
                  <c:v>50.9</c:v>
                </c:pt>
                <c:pt idx="10">
                  <c:v>47</c:v>
                </c:pt>
                <c:pt idx="11">
                  <c:v>45</c:v>
                </c:pt>
                <c:pt idx="12">
                  <c:v>44</c:v>
                </c:pt>
                <c:pt idx="13">
                  <c:v>37.9</c:v>
                </c:pt>
                <c:pt idx="14">
                  <c:v>36.6</c:v>
                </c:pt>
                <c:pt idx="15">
                  <c:v>34.9</c:v>
                </c:pt>
                <c:pt idx="16">
                  <c:v>34.6</c:v>
                </c:pt>
                <c:pt idx="17">
                  <c:v>34.6</c:v>
                </c:pt>
                <c:pt idx="18">
                  <c:v>33.6</c:v>
                </c:pt>
                <c:pt idx="19">
                  <c:v>32.6</c:v>
                </c:pt>
                <c:pt idx="20">
                  <c:v>32.6</c:v>
                </c:pt>
                <c:pt idx="21">
                  <c:v>30.6</c:v>
                </c:pt>
                <c:pt idx="22">
                  <c:v>30.6</c:v>
                </c:pt>
                <c:pt idx="23">
                  <c:v>29.8</c:v>
                </c:pt>
                <c:pt idx="24">
                  <c:v>29</c:v>
                </c:pt>
                <c:pt idx="25">
                  <c:v>28.7</c:v>
                </c:pt>
                <c:pt idx="26">
                  <c:v>28</c:v>
                </c:pt>
                <c:pt idx="27">
                  <c:v>28</c:v>
                </c:pt>
                <c:pt idx="28">
                  <c:v>27.8</c:v>
                </c:pt>
                <c:pt idx="29">
                  <c:v>25.8</c:v>
                </c:pt>
                <c:pt idx="30">
                  <c:v>24.3</c:v>
                </c:pt>
                <c:pt idx="31">
                  <c:v>23.2</c:v>
                </c:pt>
                <c:pt idx="32">
                  <c:v>23</c:v>
                </c:pt>
                <c:pt idx="33">
                  <c:v>22.5</c:v>
                </c:pt>
                <c:pt idx="34">
                  <c:v>20</c:v>
                </c:pt>
                <c:pt idx="35">
                  <c:v>20</c:v>
                </c:pt>
                <c:pt idx="36">
                  <c:v>19.899999999999999</c:v>
                </c:pt>
                <c:pt idx="37">
                  <c:v>18.3</c:v>
                </c:pt>
                <c:pt idx="38">
                  <c:v>16.899999999999999</c:v>
                </c:pt>
                <c:pt idx="39">
                  <c:v>16.600000000000001</c:v>
                </c:pt>
                <c:pt idx="40">
                  <c:v>15.7</c:v>
                </c:pt>
                <c:pt idx="41">
                  <c:v>15</c:v>
                </c:pt>
                <c:pt idx="42">
                  <c:v>15</c:v>
                </c:pt>
                <c:pt idx="43">
                  <c:v>14.2</c:v>
                </c:pt>
                <c:pt idx="44">
                  <c:v>14.1</c:v>
                </c:pt>
                <c:pt idx="45">
                  <c:v>13.3</c:v>
                </c:pt>
                <c:pt idx="46">
                  <c:v>11</c:v>
                </c:pt>
                <c:pt idx="47">
                  <c:v>11</c:v>
                </c:pt>
                <c:pt idx="48">
                  <c:v>10.3</c:v>
                </c:pt>
                <c:pt idx="49">
                  <c:v>7.5</c:v>
                </c:pt>
                <c:pt idx="50">
                  <c:v>5</c:v>
                </c:pt>
                <c:pt idx="51">
                  <c:v>5</c:v>
                </c:pt>
                <c:pt idx="52">
                  <c:v>3.9</c:v>
                </c:pt>
                <c:pt idx="53">
                  <c:v>1</c:v>
                </c:pt>
                <c:pt idx="54">
                  <c:v>0.5</c:v>
                </c:pt>
                <c:pt idx="55">
                  <c:v>0.1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7-44FB-A52A-ABC3FE860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418752"/>
        <c:axId val="2122419232"/>
      </c:scatterChart>
      <c:valAx>
        <c:axId val="212241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419232"/>
        <c:crosses val="autoZero"/>
        <c:crossBetween val="midCat"/>
      </c:valAx>
      <c:valAx>
        <c:axId val="21224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41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65660542432196E-2"/>
                  <c:y val="-0.178677601789383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Sheet1!$B$2:$B$62</c:f>
              <c:numCache>
                <c:formatCode>General</c:formatCode>
                <c:ptCount val="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</c:numCache>
            </c:numRef>
          </c:xVal>
          <c:yVal>
            <c:numRef>
              <c:f>Sheet1!$E$2:$E$62</c:f>
              <c:numCache>
                <c:formatCode>0%</c:formatCode>
                <c:ptCount val="61"/>
                <c:pt idx="0">
                  <c:v>1.0625</c:v>
                </c:pt>
                <c:pt idx="1">
                  <c:v>1.0520652173913043</c:v>
                </c:pt>
                <c:pt idx="2">
                  <c:v>1.0428804347826086</c:v>
                </c:pt>
                <c:pt idx="3">
                  <c:v>1.0415760869565218</c:v>
                </c:pt>
                <c:pt idx="4">
                  <c:v>1.0402717391304348</c:v>
                </c:pt>
                <c:pt idx="5">
                  <c:v>1.0389130434782607</c:v>
                </c:pt>
                <c:pt idx="6">
                  <c:v>1.0301630434782609</c:v>
                </c:pt>
                <c:pt idx="7">
                  <c:v>1.0298913043478259</c:v>
                </c:pt>
                <c:pt idx="8">
                  <c:v>1.0277173913043478</c:v>
                </c:pt>
                <c:pt idx="9">
                  <c:v>1.0276630434782608</c:v>
                </c:pt>
                <c:pt idx="10">
                  <c:v>1.0255434782608697</c:v>
                </c:pt>
                <c:pt idx="11">
                  <c:v>1</c:v>
                </c:pt>
                <c:pt idx="12">
                  <c:v>0.98886414253897537</c:v>
                </c:pt>
                <c:pt idx="13">
                  <c:v>0.92093541202672602</c:v>
                </c:pt>
                <c:pt idx="14">
                  <c:v>0.90645879732739421</c:v>
                </c:pt>
                <c:pt idx="15">
                  <c:v>0.88752783964365245</c:v>
                </c:pt>
                <c:pt idx="16">
                  <c:v>0.88418708240534516</c:v>
                </c:pt>
                <c:pt idx="17">
                  <c:v>0.88418708240534516</c:v>
                </c:pt>
                <c:pt idx="18">
                  <c:v>0.87305122494432075</c:v>
                </c:pt>
                <c:pt idx="19">
                  <c:v>0.86191536748329634</c:v>
                </c:pt>
                <c:pt idx="20">
                  <c:v>0.86191536748329634</c:v>
                </c:pt>
                <c:pt idx="21">
                  <c:v>0.83964365256124729</c:v>
                </c:pt>
                <c:pt idx="22">
                  <c:v>0.83964365256124729</c:v>
                </c:pt>
                <c:pt idx="23">
                  <c:v>0.83073496659242763</c:v>
                </c:pt>
                <c:pt idx="24">
                  <c:v>0.82182628062360796</c:v>
                </c:pt>
                <c:pt idx="25">
                  <c:v>0.81848552338530067</c:v>
                </c:pt>
                <c:pt idx="26">
                  <c:v>0.81069042316258344</c:v>
                </c:pt>
                <c:pt idx="27">
                  <c:v>0.81069042316258344</c:v>
                </c:pt>
                <c:pt idx="28">
                  <c:v>0.80846325167037858</c:v>
                </c:pt>
                <c:pt idx="29">
                  <c:v>0.78619153674832953</c:v>
                </c:pt>
                <c:pt idx="30">
                  <c:v>0.76948775055679286</c:v>
                </c:pt>
                <c:pt idx="31">
                  <c:v>0.75723830734966591</c:v>
                </c:pt>
                <c:pt idx="32">
                  <c:v>0.75501113585746094</c:v>
                </c:pt>
                <c:pt idx="33">
                  <c:v>0.74944320712694878</c:v>
                </c:pt>
                <c:pt idx="34">
                  <c:v>0.72160356347438748</c:v>
                </c:pt>
                <c:pt idx="35">
                  <c:v>0.72160356347438748</c:v>
                </c:pt>
                <c:pt idx="36">
                  <c:v>0.72048997772828505</c:v>
                </c:pt>
                <c:pt idx="37">
                  <c:v>0.70267260579064583</c:v>
                </c:pt>
                <c:pt idx="38">
                  <c:v>0.68708240534521148</c:v>
                </c:pt>
                <c:pt idx="39">
                  <c:v>0.68374164810690419</c:v>
                </c:pt>
                <c:pt idx="40">
                  <c:v>0.67371937639198221</c:v>
                </c:pt>
                <c:pt idx="41">
                  <c:v>0.66592427616926508</c:v>
                </c:pt>
                <c:pt idx="42">
                  <c:v>0.66592427616926508</c:v>
                </c:pt>
                <c:pt idx="43">
                  <c:v>0.65701559020044542</c:v>
                </c:pt>
                <c:pt idx="44">
                  <c:v>0.65590200445434299</c:v>
                </c:pt>
                <c:pt idx="45">
                  <c:v>0.64699331848552344</c:v>
                </c:pt>
                <c:pt idx="46">
                  <c:v>0.62138084632516699</c:v>
                </c:pt>
                <c:pt idx="47">
                  <c:v>0.62138084632516699</c:v>
                </c:pt>
                <c:pt idx="48">
                  <c:v>0.61358574610244998</c:v>
                </c:pt>
                <c:pt idx="49">
                  <c:v>0.58240534521158127</c:v>
                </c:pt>
                <c:pt idx="50">
                  <c:v>0.55456570155902007</c:v>
                </c:pt>
                <c:pt idx="51">
                  <c:v>0.55456570155902007</c:v>
                </c:pt>
                <c:pt idx="52">
                  <c:v>0.54231625835189312</c:v>
                </c:pt>
                <c:pt idx="53">
                  <c:v>0.51002227171492198</c:v>
                </c:pt>
                <c:pt idx="54">
                  <c:v>0.50445434298440983</c:v>
                </c:pt>
                <c:pt idx="55">
                  <c:v>0.5</c:v>
                </c:pt>
                <c:pt idx="56">
                  <c:v>0.49888641425389757</c:v>
                </c:pt>
                <c:pt idx="57">
                  <c:v>0.49888641425389757</c:v>
                </c:pt>
                <c:pt idx="58">
                  <c:v>0.49888641425389757</c:v>
                </c:pt>
                <c:pt idx="59">
                  <c:v>0.49888641425389757</c:v>
                </c:pt>
                <c:pt idx="60">
                  <c:v>0.49888641425389757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56-4548-BC00-D754C4CA4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576256"/>
        <c:axId val="811578176"/>
      </c:scatterChart>
      <c:valAx>
        <c:axId val="81157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78176"/>
        <c:crosses val="autoZero"/>
        <c:crossBetween val="midCat"/>
      </c:valAx>
      <c:valAx>
        <c:axId val="8115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7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LAUNCH DIST &lt;45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923556430446193"/>
                  <c:y val="-0.110192314670343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Sheet1!$B$13:$B$62</c:f>
              <c:numCache>
                <c:formatCode>General</c:formatCode>
                <c:ptCount val="5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  <c:pt idx="35">
                  <c:v>47</c:v>
                </c:pt>
                <c:pt idx="36">
                  <c:v>48</c:v>
                </c:pt>
                <c:pt idx="37">
                  <c:v>49</c:v>
                </c:pt>
                <c:pt idx="38">
                  <c:v>50</c:v>
                </c:pt>
                <c:pt idx="39">
                  <c:v>51</c:v>
                </c:pt>
                <c:pt idx="40">
                  <c:v>52</c:v>
                </c:pt>
                <c:pt idx="41">
                  <c:v>53</c:v>
                </c:pt>
                <c:pt idx="42">
                  <c:v>54</c:v>
                </c:pt>
                <c:pt idx="43">
                  <c:v>55</c:v>
                </c:pt>
                <c:pt idx="44">
                  <c:v>56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60</c:v>
                </c:pt>
                <c:pt idx="49">
                  <c:v>61</c:v>
                </c:pt>
              </c:numCache>
            </c:numRef>
          </c:xVal>
          <c:yVal>
            <c:numRef>
              <c:f>Sheet1!$C$13:$C$62</c:f>
              <c:numCache>
                <c:formatCode>General</c:formatCode>
                <c:ptCount val="50"/>
                <c:pt idx="0">
                  <c:v>45</c:v>
                </c:pt>
                <c:pt idx="1">
                  <c:v>44</c:v>
                </c:pt>
                <c:pt idx="2">
                  <c:v>37.9</c:v>
                </c:pt>
                <c:pt idx="3">
                  <c:v>36.6</c:v>
                </c:pt>
                <c:pt idx="4">
                  <c:v>34.9</c:v>
                </c:pt>
                <c:pt idx="5">
                  <c:v>34.6</c:v>
                </c:pt>
                <c:pt idx="6">
                  <c:v>34.6</c:v>
                </c:pt>
                <c:pt idx="7">
                  <c:v>33.6</c:v>
                </c:pt>
                <c:pt idx="8">
                  <c:v>32.6</c:v>
                </c:pt>
                <c:pt idx="9">
                  <c:v>32.6</c:v>
                </c:pt>
                <c:pt idx="10">
                  <c:v>30.6</c:v>
                </c:pt>
                <c:pt idx="11">
                  <c:v>30.6</c:v>
                </c:pt>
                <c:pt idx="12">
                  <c:v>29.8</c:v>
                </c:pt>
                <c:pt idx="13">
                  <c:v>29</c:v>
                </c:pt>
                <c:pt idx="14">
                  <c:v>28.7</c:v>
                </c:pt>
                <c:pt idx="15">
                  <c:v>28</c:v>
                </c:pt>
                <c:pt idx="16">
                  <c:v>28</c:v>
                </c:pt>
                <c:pt idx="17">
                  <c:v>27.8</c:v>
                </c:pt>
                <c:pt idx="18">
                  <c:v>25.8</c:v>
                </c:pt>
                <c:pt idx="19">
                  <c:v>24.3</c:v>
                </c:pt>
                <c:pt idx="20">
                  <c:v>23.2</c:v>
                </c:pt>
                <c:pt idx="21">
                  <c:v>23</c:v>
                </c:pt>
                <c:pt idx="22">
                  <c:v>22.5</c:v>
                </c:pt>
                <c:pt idx="23">
                  <c:v>20</c:v>
                </c:pt>
                <c:pt idx="24">
                  <c:v>20</c:v>
                </c:pt>
                <c:pt idx="25">
                  <c:v>19.899999999999999</c:v>
                </c:pt>
                <c:pt idx="26">
                  <c:v>18.3</c:v>
                </c:pt>
                <c:pt idx="27">
                  <c:v>16.899999999999999</c:v>
                </c:pt>
                <c:pt idx="28">
                  <c:v>16.600000000000001</c:v>
                </c:pt>
                <c:pt idx="29">
                  <c:v>15.7</c:v>
                </c:pt>
                <c:pt idx="30">
                  <c:v>15</c:v>
                </c:pt>
                <c:pt idx="31">
                  <c:v>15</c:v>
                </c:pt>
                <c:pt idx="32">
                  <c:v>14.2</c:v>
                </c:pt>
                <c:pt idx="33">
                  <c:v>14.1</c:v>
                </c:pt>
                <c:pt idx="34">
                  <c:v>13.3</c:v>
                </c:pt>
                <c:pt idx="35">
                  <c:v>11</c:v>
                </c:pt>
                <c:pt idx="36">
                  <c:v>11</c:v>
                </c:pt>
                <c:pt idx="37">
                  <c:v>10.3</c:v>
                </c:pt>
                <c:pt idx="38">
                  <c:v>7.5</c:v>
                </c:pt>
                <c:pt idx="39">
                  <c:v>5</c:v>
                </c:pt>
                <c:pt idx="40">
                  <c:v>5</c:v>
                </c:pt>
                <c:pt idx="41">
                  <c:v>3.9</c:v>
                </c:pt>
                <c:pt idx="42">
                  <c:v>1</c:v>
                </c:pt>
                <c:pt idx="43">
                  <c:v>0.5</c:v>
                </c:pt>
                <c:pt idx="44">
                  <c:v>0.1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A-4179-8DBC-64BC98925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353344"/>
        <c:axId val="824353824"/>
      </c:scatterChart>
      <c:valAx>
        <c:axId val="82435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53824"/>
        <c:crosses val="autoZero"/>
        <c:crossBetween val="midCat"/>
      </c:valAx>
      <c:valAx>
        <c:axId val="82435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5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LAUNCH DIST &gt;45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5.2289370078740155E-2"/>
                  <c:y val="-0.115294866432688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Sheet1!$C$2:$C$12</c:f>
              <c:numCache>
                <c:formatCode>General</c:formatCode>
                <c:ptCount val="11"/>
                <c:pt idx="0">
                  <c:v>115</c:v>
                </c:pt>
                <c:pt idx="1">
                  <c:v>95.8</c:v>
                </c:pt>
                <c:pt idx="2">
                  <c:v>78.900000000000006</c:v>
                </c:pt>
                <c:pt idx="3">
                  <c:v>76.5</c:v>
                </c:pt>
                <c:pt idx="4">
                  <c:v>74.099999999999994</c:v>
                </c:pt>
                <c:pt idx="5">
                  <c:v>71.599999999999994</c:v>
                </c:pt>
                <c:pt idx="6">
                  <c:v>55.5</c:v>
                </c:pt>
                <c:pt idx="7">
                  <c:v>55</c:v>
                </c:pt>
                <c:pt idx="8">
                  <c:v>51</c:v>
                </c:pt>
                <c:pt idx="9">
                  <c:v>50.9</c:v>
                </c:pt>
                <c:pt idx="10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07-465E-A511-03017DA20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484096"/>
        <c:axId val="815550896"/>
      </c:scatterChart>
      <c:valAx>
        <c:axId val="93248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50896"/>
        <c:crosses val="autoZero"/>
        <c:crossBetween val="midCat"/>
      </c:valAx>
      <c:valAx>
        <c:axId val="8155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84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GRADE &lt;45</a:t>
            </a:r>
          </a:p>
        </c:rich>
      </c:tx>
      <c:layout>
        <c:manualLayout>
          <c:xMode val="edge"/>
          <c:yMode val="edge"/>
          <c:x val="0.4063123359580052"/>
          <c:y val="2.771362586605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65660542432196E-2"/>
                  <c:y val="-0.183905730028550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Sheet1!$B$13:$B$62</c:f>
              <c:numCache>
                <c:formatCode>General</c:formatCode>
                <c:ptCount val="5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44</c:v>
                </c:pt>
                <c:pt idx="33">
                  <c:v>45</c:v>
                </c:pt>
                <c:pt idx="34">
                  <c:v>46</c:v>
                </c:pt>
                <c:pt idx="35">
                  <c:v>47</c:v>
                </c:pt>
                <c:pt idx="36">
                  <c:v>48</c:v>
                </c:pt>
                <c:pt idx="37">
                  <c:v>49</c:v>
                </c:pt>
                <c:pt idx="38">
                  <c:v>50</c:v>
                </c:pt>
                <c:pt idx="39">
                  <c:v>51</c:v>
                </c:pt>
                <c:pt idx="40">
                  <c:v>52</c:v>
                </c:pt>
                <c:pt idx="41">
                  <c:v>53</c:v>
                </c:pt>
                <c:pt idx="42">
                  <c:v>54</c:v>
                </c:pt>
                <c:pt idx="43">
                  <c:v>55</c:v>
                </c:pt>
                <c:pt idx="44">
                  <c:v>56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60</c:v>
                </c:pt>
                <c:pt idx="49">
                  <c:v>61</c:v>
                </c:pt>
              </c:numCache>
            </c:numRef>
          </c:xVal>
          <c:yVal>
            <c:numRef>
              <c:f>Sheet1!$E$13:$E$62</c:f>
              <c:numCache>
                <c:formatCode>0%</c:formatCode>
                <c:ptCount val="50"/>
                <c:pt idx="0">
                  <c:v>1</c:v>
                </c:pt>
                <c:pt idx="1">
                  <c:v>0.98886414253897537</c:v>
                </c:pt>
                <c:pt idx="2">
                  <c:v>0.92093541202672602</c:v>
                </c:pt>
                <c:pt idx="3">
                  <c:v>0.90645879732739421</c:v>
                </c:pt>
                <c:pt idx="4">
                  <c:v>0.88752783964365245</c:v>
                </c:pt>
                <c:pt idx="5">
                  <c:v>0.88418708240534516</c:v>
                </c:pt>
                <c:pt idx="6">
                  <c:v>0.88418708240534516</c:v>
                </c:pt>
                <c:pt idx="7">
                  <c:v>0.87305122494432075</c:v>
                </c:pt>
                <c:pt idx="8">
                  <c:v>0.86191536748329634</c:v>
                </c:pt>
                <c:pt idx="9">
                  <c:v>0.86191536748329634</c:v>
                </c:pt>
                <c:pt idx="10">
                  <c:v>0.83964365256124729</c:v>
                </c:pt>
                <c:pt idx="11">
                  <c:v>0.83964365256124729</c:v>
                </c:pt>
                <c:pt idx="12">
                  <c:v>0.83073496659242763</c:v>
                </c:pt>
                <c:pt idx="13">
                  <c:v>0.82182628062360796</c:v>
                </c:pt>
                <c:pt idx="14">
                  <c:v>0.81848552338530067</c:v>
                </c:pt>
                <c:pt idx="15">
                  <c:v>0.81069042316258344</c:v>
                </c:pt>
                <c:pt idx="16">
                  <c:v>0.81069042316258344</c:v>
                </c:pt>
                <c:pt idx="17">
                  <c:v>0.80846325167037858</c:v>
                </c:pt>
                <c:pt idx="18">
                  <c:v>0.78619153674832953</c:v>
                </c:pt>
                <c:pt idx="19">
                  <c:v>0.76948775055679286</c:v>
                </c:pt>
                <c:pt idx="20">
                  <c:v>0.75723830734966591</c:v>
                </c:pt>
                <c:pt idx="21">
                  <c:v>0.75501113585746094</c:v>
                </c:pt>
                <c:pt idx="22">
                  <c:v>0.74944320712694878</c:v>
                </c:pt>
                <c:pt idx="23">
                  <c:v>0.72160356347438748</c:v>
                </c:pt>
                <c:pt idx="24">
                  <c:v>0.72160356347438748</c:v>
                </c:pt>
                <c:pt idx="25">
                  <c:v>0.72048997772828505</c:v>
                </c:pt>
                <c:pt idx="26">
                  <c:v>0.70267260579064583</c:v>
                </c:pt>
                <c:pt idx="27">
                  <c:v>0.68708240534521148</c:v>
                </c:pt>
                <c:pt idx="28">
                  <c:v>0.68374164810690419</c:v>
                </c:pt>
                <c:pt idx="29">
                  <c:v>0.67371937639198221</c:v>
                </c:pt>
                <c:pt idx="30">
                  <c:v>0.66592427616926508</c:v>
                </c:pt>
                <c:pt idx="31">
                  <c:v>0.66592427616926508</c:v>
                </c:pt>
                <c:pt idx="32">
                  <c:v>0.65701559020044542</c:v>
                </c:pt>
                <c:pt idx="33">
                  <c:v>0.65590200445434299</c:v>
                </c:pt>
                <c:pt idx="34">
                  <c:v>0.64699331848552344</c:v>
                </c:pt>
                <c:pt idx="35">
                  <c:v>0.62138084632516699</c:v>
                </c:pt>
                <c:pt idx="36">
                  <c:v>0.62138084632516699</c:v>
                </c:pt>
                <c:pt idx="37">
                  <c:v>0.61358574610244998</c:v>
                </c:pt>
                <c:pt idx="38">
                  <c:v>0.58240534521158127</c:v>
                </c:pt>
                <c:pt idx="39">
                  <c:v>0.55456570155902007</c:v>
                </c:pt>
                <c:pt idx="40">
                  <c:v>0.55456570155902007</c:v>
                </c:pt>
                <c:pt idx="41">
                  <c:v>0.54231625835189312</c:v>
                </c:pt>
                <c:pt idx="42">
                  <c:v>0.51002227171492198</c:v>
                </c:pt>
                <c:pt idx="43">
                  <c:v>0.50445434298440983</c:v>
                </c:pt>
                <c:pt idx="44">
                  <c:v>0.5</c:v>
                </c:pt>
                <c:pt idx="45">
                  <c:v>0.49888641425389757</c:v>
                </c:pt>
                <c:pt idx="46">
                  <c:v>0.49888641425389757</c:v>
                </c:pt>
                <c:pt idx="47">
                  <c:v>0.49888641425389757</c:v>
                </c:pt>
                <c:pt idx="48">
                  <c:v>0.49888641425389757</c:v>
                </c:pt>
                <c:pt idx="49">
                  <c:v>0.49888641425389757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62-4436-9A13-F098D013E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694288"/>
        <c:axId val="765694768"/>
      </c:scatterChart>
      <c:valAx>
        <c:axId val="76569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94768"/>
        <c:crosses val="autoZero"/>
        <c:crossBetween val="midCat"/>
      </c:valAx>
      <c:valAx>
        <c:axId val="76569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9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GRADE &gt;45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8.1260498687664037E-2"/>
                  <c:y val="-0.137900383699150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Sheet1!$E$2:$E$12</c:f>
              <c:numCache>
                <c:formatCode>0%</c:formatCode>
                <c:ptCount val="11"/>
                <c:pt idx="0">
                  <c:v>1.0625</c:v>
                </c:pt>
                <c:pt idx="1">
                  <c:v>1.0520652173913043</c:v>
                </c:pt>
                <c:pt idx="2">
                  <c:v>1.0428804347826086</c:v>
                </c:pt>
                <c:pt idx="3">
                  <c:v>1.0415760869565218</c:v>
                </c:pt>
                <c:pt idx="4">
                  <c:v>1.0402717391304348</c:v>
                </c:pt>
                <c:pt idx="5">
                  <c:v>1.0389130434782607</c:v>
                </c:pt>
                <c:pt idx="6">
                  <c:v>1.0301630434782609</c:v>
                </c:pt>
                <c:pt idx="7">
                  <c:v>1.0298913043478259</c:v>
                </c:pt>
                <c:pt idx="8">
                  <c:v>1.0277173913043478</c:v>
                </c:pt>
                <c:pt idx="9">
                  <c:v>1.0276630434782608</c:v>
                </c:pt>
                <c:pt idx="10">
                  <c:v>1.0255434782608697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50-4781-938A-08F1121F8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914448"/>
        <c:axId val="932438416"/>
      </c:scatterChart>
      <c:valAx>
        <c:axId val="125091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38416"/>
        <c:crosses val="autoZero"/>
        <c:crossBetween val="midCat"/>
      </c:valAx>
      <c:valAx>
        <c:axId val="9324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91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Sheet1!$C$2:$C$62</c:f>
              <c:numCache>
                <c:formatCode>General</c:formatCode>
                <c:ptCount val="61"/>
                <c:pt idx="0">
                  <c:v>115</c:v>
                </c:pt>
                <c:pt idx="1">
                  <c:v>95.8</c:v>
                </c:pt>
                <c:pt idx="2">
                  <c:v>78.900000000000006</c:v>
                </c:pt>
                <c:pt idx="3">
                  <c:v>76.5</c:v>
                </c:pt>
                <c:pt idx="4">
                  <c:v>74.099999999999994</c:v>
                </c:pt>
                <c:pt idx="5">
                  <c:v>71.599999999999994</c:v>
                </c:pt>
                <c:pt idx="6">
                  <c:v>55.5</c:v>
                </c:pt>
                <c:pt idx="7">
                  <c:v>55</c:v>
                </c:pt>
                <c:pt idx="8">
                  <c:v>51</c:v>
                </c:pt>
                <c:pt idx="9">
                  <c:v>50.9</c:v>
                </c:pt>
                <c:pt idx="10">
                  <c:v>47</c:v>
                </c:pt>
                <c:pt idx="11">
                  <c:v>45</c:v>
                </c:pt>
                <c:pt idx="12">
                  <c:v>44</c:v>
                </c:pt>
                <c:pt idx="13">
                  <c:v>37.9</c:v>
                </c:pt>
                <c:pt idx="14">
                  <c:v>36.6</c:v>
                </c:pt>
                <c:pt idx="15">
                  <c:v>34.9</c:v>
                </c:pt>
                <c:pt idx="16">
                  <c:v>34.6</c:v>
                </c:pt>
                <c:pt idx="17">
                  <c:v>34.6</c:v>
                </c:pt>
                <c:pt idx="18">
                  <c:v>33.6</c:v>
                </c:pt>
                <c:pt idx="19">
                  <c:v>32.6</c:v>
                </c:pt>
                <c:pt idx="20">
                  <c:v>32.6</c:v>
                </c:pt>
                <c:pt idx="21">
                  <c:v>30.6</c:v>
                </c:pt>
                <c:pt idx="22">
                  <c:v>30.6</c:v>
                </c:pt>
                <c:pt idx="23">
                  <c:v>29.8</c:v>
                </c:pt>
                <c:pt idx="24">
                  <c:v>29</c:v>
                </c:pt>
                <c:pt idx="25">
                  <c:v>28.7</c:v>
                </c:pt>
                <c:pt idx="26">
                  <c:v>28</c:v>
                </c:pt>
                <c:pt idx="27">
                  <c:v>28</c:v>
                </c:pt>
                <c:pt idx="28">
                  <c:v>27.8</c:v>
                </c:pt>
                <c:pt idx="29">
                  <c:v>25.8</c:v>
                </c:pt>
                <c:pt idx="30">
                  <c:v>24.3</c:v>
                </c:pt>
                <c:pt idx="31">
                  <c:v>23.2</c:v>
                </c:pt>
                <c:pt idx="32">
                  <c:v>23</c:v>
                </c:pt>
                <c:pt idx="33">
                  <c:v>22.5</c:v>
                </c:pt>
                <c:pt idx="34">
                  <c:v>20</c:v>
                </c:pt>
                <c:pt idx="35">
                  <c:v>20</c:v>
                </c:pt>
                <c:pt idx="36">
                  <c:v>19.899999999999999</c:v>
                </c:pt>
                <c:pt idx="37">
                  <c:v>18.3</c:v>
                </c:pt>
                <c:pt idx="38">
                  <c:v>16.899999999999999</c:v>
                </c:pt>
                <c:pt idx="39">
                  <c:v>16.600000000000001</c:v>
                </c:pt>
                <c:pt idx="40">
                  <c:v>15.7</c:v>
                </c:pt>
                <c:pt idx="41">
                  <c:v>15</c:v>
                </c:pt>
                <c:pt idx="42">
                  <c:v>15</c:v>
                </c:pt>
                <c:pt idx="43">
                  <c:v>14.2</c:v>
                </c:pt>
                <c:pt idx="44">
                  <c:v>14.1</c:v>
                </c:pt>
                <c:pt idx="45">
                  <c:v>13.3</c:v>
                </c:pt>
                <c:pt idx="46">
                  <c:v>11</c:v>
                </c:pt>
                <c:pt idx="47">
                  <c:v>11</c:v>
                </c:pt>
                <c:pt idx="48">
                  <c:v>10.3</c:v>
                </c:pt>
                <c:pt idx="49">
                  <c:v>7.5</c:v>
                </c:pt>
                <c:pt idx="50">
                  <c:v>5</c:v>
                </c:pt>
                <c:pt idx="51">
                  <c:v>5</c:v>
                </c:pt>
                <c:pt idx="52">
                  <c:v>3.9</c:v>
                </c:pt>
                <c:pt idx="53">
                  <c:v>1</c:v>
                </c:pt>
                <c:pt idx="54">
                  <c:v>0.5</c:v>
                </c:pt>
                <c:pt idx="55">
                  <c:v>0.1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xVal>
          <c:yVal>
            <c:numRef>
              <c:f>Sheet1!$E$2:$E$62</c:f>
              <c:numCache>
                <c:formatCode>0%</c:formatCode>
                <c:ptCount val="61"/>
                <c:pt idx="0">
                  <c:v>1.0625</c:v>
                </c:pt>
                <c:pt idx="1">
                  <c:v>1.0520652173913043</c:v>
                </c:pt>
                <c:pt idx="2">
                  <c:v>1.0428804347826086</c:v>
                </c:pt>
                <c:pt idx="3">
                  <c:v>1.0415760869565218</c:v>
                </c:pt>
                <c:pt idx="4">
                  <c:v>1.0402717391304348</c:v>
                </c:pt>
                <c:pt idx="5">
                  <c:v>1.0389130434782607</c:v>
                </c:pt>
                <c:pt idx="6">
                  <c:v>1.0301630434782609</c:v>
                </c:pt>
                <c:pt idx="7">
                  <c:v>1.0298913043478259</c:v>
                </c:pt>
                <c:pt idx="8">
                  <c:v>1.0277173913043478</c:v>
                </c:pt>
                <c:pt idx="9">
                  <c:v>1.0276630434782608</c:v>
                </c:pt>
                <c:pt idx="10">
                  <c:v>1.0255434782608697</c:v>
                </c:pt>
                <c:pt idx="11">
                  <c:v>1</c:v>
                </c:pt>
                <c:pt idx="12">
                  <c:v>0.98886414253897537</c:v>
                </c:pt>
                <c:pt idx="13">
                  <c:v>0.92093541202672602</c:v>
                </c:pt>
                <c:pt idx="14">
                  <c:v>0.90645879732739421</c:v>
                </c:pt>
                <c:pt idx="15">
                  <c:v>0.88752783964365245</c:v>
                </c:pt>
                <c:pt idx="16">
                  <c:v>0.88418708240534516</c:v>
                </c:pt>
                <c:pt idx="17">
                  <c:v>0.88418708240534516</c:v>
                </c:pt>
                <c:pt idx="18">
                  <c:v>0.87305122494432075</c:v>
                </c:pt>
                <c:pt idx="19">
                  <c:v>0.86191536748329634</c:v>
                </c:pt>
                <c:pt idx="20">
                  <c:v>0.86191536748329634</c:v>
                </c:pt>
                <c:pt idx="21">
                  <c:v>0.83964365256124729</c:v>
                </c:pt>
                <c:pt idx="22">
                  <c:v>0.83964365256124729</c:v>
                </c:pt>
                <c:pt idx="23">
                  <c:v>0.83073496659242763</c:v>
                </c:pt>
                <c:pt idx="24">
                  <c:v>0.82182628062360796</c:v>
                </c:pt>
                <c:pt idx="25">
                  <c:v>0.81848552338530067</c:v>
                </c:pt>
                <c:pt idx="26">
                  <c:v>0.81069042316258344</c:v>
                </c:pt>
                <c:pt idx="27">
                  <c:v>0.81069042316258344</c:v>
                </c:pt>
                <c:pt idx="28">
                  <c:v>0.80846325167037858</c:v>
                </c:pt>
                <c:pt idx="29">
                  <c:v>0.78619153674832953</c:v>
                </c:pt>
                <c:pt idx="30">
                  <c:v>0.76948775055679286</c:v>
                </c:pt>
                <c:pt idx="31">
                  <c:v>0.75723830734966591</c:v>
                </c:pt>
                <c:pt idx="32">
                  <c:v>0.75501113585746094</c:v>
                </c:pt>
                <c:pt idx="33">
                  <c:v>0.74944320712694878</c:v>
                </c:pt>
                <c:pt idx="34">
                  <c:v>0.72160356347438748</c:v>
                </c:pt>
                <c:pt idx="35">
                  <c:v>0.72160356347438748</c:v>
                </c:pt>
                <c:pt idx="36">
                  <c:v>0.72048997772828505</c:v>
                </c:pt>
                <c:pt idx="37">
                  <c:v>0.70267260579064583</c:v>
                </c:pt>
                <c:pt idx="38">
                  <c:v>0.68708240534521148</c:v>
                </c:pt>
                <c:pt idx="39">
                  <c:v>0.68374164810690419</c:v>
                </c:pt>
                <c:pt idx="40">
                  <c:v>0.67371937639198221</c:v>
                </c:pt>
                <c:pt idx="41">
                  <c:v>0.66592427616926508</c:v>
                </c:pt>
                <c:pt idx="42">
                  <c:v>0.66592427616926508</c:v>
                </c:pt>
                <c:pt idx="43">
                  <c:v>0.65701559020044542</c:v>
                </c:pt>
                <c:pt idx="44">
                  <c:v>0.65590200445434299</c:v>
                </c:pt>
                <c:pt idx="45">
                  <c:v>0.64699331848552344</c:v>
                </c:pt>
                <c:pt idx="46">
                  <c:v>0.62138084632516699</c:v>
                </c:pt>
                <c:pt idx="47">
                  <c:v>0.62138084632516699</c:v>
                </c:pt>
                <c:pt idx="48">
                  <c:v>0.61358574610244998</c:v>
                </c:pt>
                <c:pt idx="49">
                  <c:v>0.58240534521158127</c:v>
                </c:pt>
                <c:pt idx="50">
                  <c:v>0.55456570155902007</c:v>
                </c:pt>
                <c:pt idx="51">
                  <c:v>0.55456570155902007</c:v>
                </c:pt>
                <c:pt idx="52">
                  <c:v>0.54231625835189312</c:v>
                </c:pt>
                <c:pt idx="53">
                  <c:v>0.51002227171492198</c:v>
                </c:pt>
                <c:pt idx="54">
                  <c:v>0.50445434298440983</c:v>
                </c:pt>
                <c:pt idx="55">
                  <c:v>0.5</c:v>
                </c:pt>
                <c:pt idx="56">
                  <c:v>0.49888641425389757</c:v>
                </c:pt>
                <c:pt idx="57">
                  <c:v>0.49888641425389757</c:v>
                </c:pt>
                <c:pt idx="58">
                  <c:v>0.49888641425389757</c:v>
                </c:pt>
                <c:pt idx="59">
                  <c:v>0.49888641425389757</c:v>
                </c:pt>
                <c:pt idx="60">
                  <c:v>0.49888641425389757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5-4D81-9C2E-91D3C2322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2031"/>
        <c:axId val="2440111"/>
      </c:scatterChart>
      <c:valAx>
        <c:axId val="244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0111"/>
        <c:crosses val="autoZero"/>
        <c:crossBetween val="midCat"/>
      </c:valAx>
      <c:valAx>
        <c:axId val="244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</xdr:colOff>
      <xdr:row>5</xdr:row>
      <xdr:rowOff>20637</xdr:rowOff>
    </xdr:from>
    <xdr:to>
      <xdr:col>13</xdr:col>
      <xdr:colOff>320675</xdr:colOff>
      <xdr:row>20</xdr:row>
      <xdr:rowOff>65087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9C3A8-6138-5A53-28F2-E5207F222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39687</xdr:colOff>
      <xdr:row>5</xdr:row>
      <xdr:rowOff>7937</xdr:rowOff>
    </xdr:from>
    <xdr:to>
      <xdr:col>21</xdr:col>
      <xdr:colOff>192087</xdr:colOff>
      <xdr:row>20</xdr:row>
      <xdr:rowOff>49212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BAA631-DD4D-CD8B-98E5-36C90B1F2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</xdr:colOff>
      <xdr:row>21</xdr:row>
      <xdr:rowOff>11112</xdr:rowOff>
    </xdr:from>
    <xdr:to>
      <xdr:col>13</xdr:col>
      <xdr:colOff>342900</xdr:colOff>
      <xdr:row>36</xdr:row>
      <xdr:rowOff>46037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B7C950-EC21-655D-1549-6D9119C3F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39687</xdr:colOff>
      <xdr:row>37</xdr:row>
      <xdr:rowOff>1587</xdr:rowOff>
    </xdr:from>
    <xdr:to>
      <xdr:col>13</xdr:col>
      <xdr:colOff>344487</xdr:colOff>
      <xdr:row>52</xdr:row>
      <xdr:rowOff>36512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6DB645-F3CA-FE6D-B2DA-446318929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38100</xdr:colOff>
      <xdr:row>21</xdr:row>
      <xdr:rowOff>1587</xdr:rowOff>
    </xdr:from>
    <xdr:to>
      <xdr:col>21</xdr:col>
      <xdr:colOff>190500</xdr:colOff>
      <xdr:row>36</xdr:row>
      <xdr:rowOff>36512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2233D6-C8CD-0577-9039-8E1632EEE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30162</xdr:colOff>
      <xdr:row>37</xdr:row>
      <xdr:rowOff>20637</xdr:rowOff>
    </xdr:from>
    <xdr:to>
      <xdr:col>21</xdr:col>
      <xdr:colOff>182562</xdr:colOff>
      <xdr:row>52</xdr:row>
      <xdr:rowOff>55562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1A8374-5ED8-92FE-436D-D2F83E9E8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7937</xdr:colOff>
      <xdr:row>5</xdr:row>
      <xdr:rowOff>11112</xdr:rowOff>
    </xdr:from>
    <xdr:to>
      <xdr:col>29</xdr:col>
      <xdr:colOff>322262</xdr:colOff>
      <xdr:row>20</xdr:row>
      <xdr:rowOff>36512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BF13BB-F930-572B-FE98-CE4D9C993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95250</xdr:colOff>
      <xdr:row>7</xdr:row>
      <xdr:rowOff>104775</xdr:rowOff>
    </xdr:from>
    <xdr:to>
      <xdr:col>25</xdr:col>
      <xdr:colOff>371475</xdr:colOff>
      <xdr:row>15</xdr:row>
      <xdr:rowOff>82550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798D632-B464-62CE-C749-7C7850AC5860}"/>
            </a:ext>
          </a:extLst>
        </xdr:cNvPr>
        <xdr:cNvCxnSpPr/>
      </xdr:nvCxnSpPr>
      <xdr:spPr>
        <a:xfrm flipH="1">
          <a:off x="13392150" y="1409700"/>
          <a:ext cx="2105025" cy="1425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361950</xdr:colOff>
      <xdr:row>8</xdr:row>
      <xdr:rowOff>142875</xdr:rowOff>
    </xdr:from>
    <xdr:to>
      <xdr:col>28</xdr:col>
      <xdr:colOff>457200</xdr:colOff>
      <xdr:row>9</xdr:row>
      <xdr:rowOff>85725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F848A95-9CE9-EC78-4519-540D46803B59}"/>
            </a:ext>
          </a:extLst>
        </xdr:cNvPr>
        <xdr:cNvCxnSpPr/>
      </xdr:nvCxnSpPr>
      <xdr:spPr>
        <a:xfrm flipH="1">
          <a:off x="14268450" y="1628775"/>
          <a:ext cx="3143250" cy="123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C4C0-FB3F-422B-8ABC-6C9EF8BA3CB0}">
  <dimension ref="B1:Q63"/>
  <sheetViews>
    <sheetView tabSelected="1" workbookViewId="0">
      <selection activeCell="AA33" sqref="AA33"/>
    </sheetView>
  </sheetViews>
  <sheetFormatPr defaultRowHeight="14.5" x14ac:dyDescent="0.35"/>
  <cols>
    <col min="2" max="2" width="2.81640625" customWidth="1"/>
    <col min="15" max="15" width="13" customWidth="1"/>
  </cols>
  <sheetData>
    <row r="1" spans="2:17" ht="15" thickBot="1" x14ac:dyDescent="0.4"/>
    <row r="2" spans="2:17" ht="15" thickBot="1" x14ac:dyDescent="0.4">
      <c r="B2" s="27">
        <v>1</v>
      </c>
      <c r="C2" s="24">
        <v>115</v>
      </c>
      <c r="D2" s="7">
        <f>IF(C2&gt;45,24+(1.5*C2/$C$2),12*(C2-0.1)/(45-0.1)+12)</f>
        <v>25.5</v>
      </c>
      <c r="E2" s="4">
        <f>D2/24</f>
        <v>1.0625</v>
      </c>
      <c r="G2" s="11" t="s">
        <v>0</v>
      </c>
      <c r="H2" s="12"/>
      <c r="I2" s="13" t="s">
        <v>3</v>
      </c>
      <c r="J2" s="14"/>
      <c r="K2" s="11" t="s">
        <v>5</v>
      </c>
      <c r="L2" s="12"/>
      <c r="M2" s="13" t="s">
        <v>4</v>
      </c>
      <c r="N2" s="12"/>
      <c r="O2" s="22" t="s">
        <v>6</v>
      </c>
    </row>
    <row r="3" spans="2:17" ht="15" thickBot="1" x14ac:dyDescent="0.4">
      <c r="B3" s="28">
        <v>2</v>
      </c>
      <c r="C3" s="25">
        <v>95.8</v>
      </c>
      <c r="D3" s="8">
        <f>IF(C3&gt;45,24+(1.5*C3/$C$2),12*(C3-0.1)/(45-0.1)+12)</f>
        <v>25.249565217391304</v>
      </c>
      <c r="E3" s="5">
        <f>D3/24</f>
        <v>1.0520652173913043</v>
      </c>
      <c r="G3" s="1" t="s">
        <v>1</v>
      </c>
      <c r="H3" s="17" t="s">
        <v>2</v>
      </c>
      <c r="I3" s="15" t="s">
        <v>1</v>
      </c>
      <c r="J3" s="18" t="s">
        <v>2</v>
      </c>
      <c r="K3" s="1" t="s">
        <v>1</v>
      </c>
      <c r="L3" s="17" t="s">
        <v>2</v>
      </c>
      <c r="M3" s="1" t="s">
        <v>1</v>
      </c>
      <c r="N3" s="17" t="s">
        <v>2</v>
      </c>
      <c r="O3" s="21">
        <f>CORREL(C2:C62,E2:E62)</f>
        <v>0.91031366868209429</v>
      </c>
      <c r="P3" s="23"/>
      <c r="Q3" s="23"/>
    </row>
    <row r="4" spans="2:17" ht="15" thickBot="1" x14ac:dyDescent="0.4">
      <c r="B4" s="28">
        <v>3</v>
      </c>
      <c r="C4" s="25">
        <v>78.900000000000006</v>
      </c>
      <c r="D4" s="8">
        <f>IF(C4&gt;45,24+(1.5*C4/$C$2),12*(C4-0.1)/(45-0.1)+12)</f>
        <v>25.029130434782608</v>
      </c>
      <c r="E4" s="5">
        <f>D4/24</f>
        <v>1.0428804347826086</v>
      </c>
      <c r="G4" s="2">
        <f>AVERAGE(C2:C63)</f>
        <v>28.117741935483863</v>
      </c>
      <c r="H4" s="10">
        <f>AVERAGE(E2:E63)</f>
        <v>0.7610896604422478</v>
      </c>
      <c r="I4" s="16">
        <f>STDEV(C2:C63)</f>
        <v>24.502348660884003</v>
      </c>
      <c r="J4" s="19">
        <f>STDEV(E2:E63)</f>
        <v>0.20400725967053632</v>
      </c>
      <c r="K4" s="20">
        <f>MODE(C2:C63)</f>
        <v>0</v>
      </c>
      <c r="L4" s="3">
        <f>MODE(E2:E63)</f>
        <v>0.49888641425389757</v>
      </c>
      <c r="M4" s="20">
        <f>MEDIAN(C2:C63)</f>
        <v>23.75</v>
      </c>
      <c r="N4" s="10">
        <f>MEDIAN(E2:E63)</f>
        <v>0.76336302895322938</v>
      </c>
      <c r="O4" s="23"/>
    </row>
    <row r="5" spans="2:17" x14ac:dyDescent="0.35">
      <c r="B5" s="28">
        <v>4</v>
      </c>
      <c r="C5" s="25">
        <v>76.5</v>
      </c>
      <c r="D5" s="8">
        <f>IF(C5&gt;45,24+(1.5*C5/$C$2),12*(C5-0.1)/(45-0.1)+12)</f>
        <v>24.997826086956522</v>
      </c>
      <c r="E5" s="5">
        <f>D5/24</f>
        <v>1.0415760869565218</v>
      </c>
    </row>
    <row r="6" spans="2:17" x14ac:dyDescent="0.35">
      <c r="B6" s="28">
        <v>5</v>
      </c>
      <c r="C6" s="25">
        <v>74.099999999999994</v>
      </c>
      <c r="D6" s="8">
        <f t="shared" ref="D6:D13" si="0">IF(C6&gt;45,24+(1.5*C6/$C$2),12*(C6-0.1)/(45-0.1)+12)</f>
        <v>24.966521739130435</v>
      </c>
      <c r="E6" s="5">
        <f>D6/24</f>
        <v>1.0402717391304348</v>
      </c>
    </row>
    <row r="7" spans="2:17" x14ac:dyDescent="0.35">
      <c r="B7" s="28">
        <v>6</v>
      </c>
      <c r="C7" s="25">
        <v>71.599999999999994</v>
      </c>
      <c r="D7" s="8">
        <f t="shared" si="0"/>
        <v>24.93391304347826</v>
      </c>
      <c r="E7" s="5">
        <f>D7/24</f>
        <v>1.0389130434782607</v>
      </c>
    </row>
    <row r="8" spans="2:17" x14ac:dyDescent="0.35">
      <c r="B8" s="28">
        <v>7</v>
      </c>
      <c r="C8" s="25">
        <v>55.5</v>
      </c>
      <c r="D8" s="8">
        <f t="shared" si="0"/>
        <v>24.723913043478262</v>
      </c>
      <c r="E8" s="5">
        <f>D8/24</f>
        <v>1.0301630434782609</v>
      </c>
    </row>
    <row r="9" spans="2:17" x14ac:dyDescent="0.35">
      <c r="B9" s="28">
        <v>8</v>
      </c>
      <c r="C9" s="25">
        <v>55</v>
      </c>
      <c r="D9" s="8">
        <f t="shared" si="0"/>
        <v>24.717391304347824</v>
      </c>
      <c r="E9" s="5">
        <f>D9/24</f>
        <v>1.0298913043478259</v>
      </c>
    </row>
    <row r="10" spans="2:17" x14ac:dyDescent="0.35">
      <c r="B10" s="28">
        <v>9</v>
      </c>
      <c r="C10" s="25">
        <v>51</v>
      </c>
      <c r="D10" s="8">
        <f t="shared" si="0"/>
        <v>24.665217391304349</v>
      </c>
      <c r="E10" s="5">
        <f>D10/24</f>
        <v>1.0277173913043478</v>
      </c>
    </row>
    <row r="11" spans="2:17" x14ac:dyDescent="0.35">
      <c r="B11" s="28">
        <v>10</v>
      </c>
      <c r="C11" s="25">
        <v>50.9</v>
      </c>
      <c r="D11" s="8">
        <f t="shared" si="0"/>
        <v>24.66391304347826</v>
      </c>
      <c r="E11" s="5">
        <f>D11/24</f>
        <v>1.0276630434782608</v>
      </c>
    </row>
    <row r="12" spans="2:17" x14ac:dyDescent="0.35">
      <c r="B12" s="28">
        <v>11</v>
      </c>
      <c r="C12" s="25">
        <v>47</v>
      </c>
      <c r="D12" s="8">
        <f t="shared" si="0"/>
        <v>24.61304347826087</v>
      </c>
      <c r="E12" s="5">
        <f>D12/24</f>
        <v>1.0255434782608697</v>
      </c>
    </row>
    <row r="13" spans="2:17" x14ac:dyDescent="0.35">
      <c r="B13" s="28">
        <v>12</v>
      </c>
      <c r="C13" s="25">
        <v>45</v>
      </c>
      <c r="D13" s="8">
        <f t="shared" si="0"/>
        <v>24</v>
      </c>
      <c r="E13" s="5">
        <f>D13/24</f>
        <v>1</v>
      </c>
    </row>
    <row r="14" spans="2:17" x14ac:dyDescent="0.35">
      <c r="B14" s="28">
        <v>13</v>
      </c>
      <c r="C14" s="25">
        <v>44</v>
      </c>
      <c r="D14" s="8">
        <f>IF(C14&gt;45,24+(1.5*C14/$C$2),12*(C14-0.1)/(45-0.1)+12)</f>
        <v>23.73273942093541</v>
      </c>
      <c r="E14" s="5">
        <f>D14/24</f>
        <v>0.98886414253897537</v>
      </c>
    </row>
    <row r="15" spans="2:17" x14ac:dyDescent="0.35">
      <c r="B15" s="28">
        <v>14</v>
      </c>
      <c r="C15" s="25">
        <v>37.9</v>
      </c>
      <c r="D15" s="8">
        <f>IF(C15&gt;45,24+(1.5*C15/$C$2),12*(C15-0.1)/(45-0.1)+12)</f>
        <v>22.102449888641424</v>
      </c>
      <c r="E15" s="5">
        <f>D15/24</f>
        <v>0.92093541202672602</v>
      </c>
    </row>
    <row r="16" spans="2:17" x14ac:dyDescent="0.35">
      <c r="B16" s="28">
        <v>15</v>
      </c>
      <c r="C16" s="25">
        <v>36.6</v>
      </c>
      <c r="D16" s="8">
        <f>IF(C16&gt;45,24+(1.5*C16/$C$2),12*(C16-0.1)/(45-0.1)+12)</f>
        <v>21.755011135857462</v>
      </c>
      <c r="E16" s="5">
        <f>D16/24</f>
        <v>0.90645879732739421</v>
      </c>
    </row>
    <row r="17" spans="2:5" x14ac:dyDescent="0.35">
      <c r="B17" s="28">
        <v>16</v>
      </c>
      <c r="C17" s="25">
        <v>34.9</v>
      </c>
      <c r="D17" s="8">
        <f>IF(C17&gt;45,24+(1.5*C17/$C$2),12*(C17-0.1)/(45-0.1)+12)</f>
        <v>21.30066815144766</v>
      </c>
      <c r="E17" s="5">
        <f>D17/24</f>
        <v>0.88752783964365245</v>
      </c>
    </row>
    <row r="18" spans="2:5" x14ac:dyDescent="0.35">
      <c r="B18" s="28">
        <v>17</v>
      </c>
      <c r="C18" s="25">
        <v>34.6</v>
      </c>
      <c r="D18" s="8">
        <f>IF(C18&gt;45,24+(1.5*C18/$C$2),12*(C18-0.1)/(45-0.1)+12)</f>
        <v>21.220489977728285</v>
      </c>
      <c r="E18" s="5">
        <f>D18/24</f>
        <v>0.88418708240534516</v>
      </c>
    </row>
    <row r="19" spans="2:5" x14ac:dyDescent="0.35">
      <c r="B19" s="28">
        <v>18</v>
      </c>
      <c r="C19" s="25">
        <v>34.6</v>
      </c>
      <c r="D19" s="8">
        <f>IF(C19&gt;45,24+(1.5*C19/$C$2),12*(C19-0.1)/(45-0.1)+12)</f>
        <v>21.220489977728285</v>
      </c>
      <c r="E19" s="5">
        <f>D19/24</f>
        <v>0.88418708240534516</v>
      </c>
    </row>
    <row r="20" spans="2:5" x14ac:dyDescent="0.35">
      <c r="B20" s="28">
        <v>19</v>
      </c>
      <c r="C20" s="25">
        <v>33.6</v>
      </c>
      <c r="D20" s="8">
        <f>IF(C20&gt;45,24+(1.5*C20/$C$2),12*(C20-0.1)/(45-0.1)+12)</f>
        <v>20.953229398663698</v>
      </c>
      <c r="E20" s="5">
        <f>D20/24</f>
        <v>0.87305122494432075</v>
      </c>
    </row>
    <row r="21" spans="2:5" x14ac:dyDescent="0.35">
      <c r="B21" s="28">
        <v>20</v>
      </c>
      <c r="C21" s="25">
        <v>32.6</v>
      </c>
      <c r="D21" s="8">
        <f>IF(C21&gt;45,24+(1.5*C21/$C$2),12*(C21-0.1)/(45-0.1)+12)</f>
        <v>20.685968819599111</v>
      </c>
      <c r="E21" s="5">
        <f>D21/24</f>
        <v>0.86191536748329634</v>
      </c>
    </row>
    <row r="22" spans="2:5" x14ac:dyDescent="0.35">
      <c r="B22" s="28">
        <v>21</v>
      </c>
      <c r="C22" s="25">
        <v>32.6</v>
      </c>
      <c r="D22" s="8">
        <f>IF(C22&gt;45,24+(1.5*C22/$C$2),12*(C22-0.1)/(45-0.1)+12)</f>
        <v>20.685968819599111</v>
      </c>
      <c r="E22" s="5">
        <f>D22/24</f>
        <v>0.86191536748329634</v>
      </c>
    </row>
    <row r="23" spans="2:5" x14ac:dyDescent="0.35">
      <c r="B23" s="28">
        <v>22</v>
      </c>
      <c r="C23" s="25">
        <v>30.6</v>
      </c>
      <c r="D23" s="8">
        <f>IF(C23&gt;45,24+(1.5*C23/$C$2),12*(C23-0.1)/(45-0.1)+12)</f>
        <v>20.151447661469934</v>
      </c>
      <c r="E23" s="5">
        <f>D23/24</f>
        <v>0.83964365256124729</v>
      </c>
    </row>
    <row r="24" spans="2:5" x14ac:dyDescent="0.35">
      <c r="B24" s="28">
        <v>23</v>
      </c>
      <c r="C24" s="25">
        <v>30.6</v>
      </c>
      <c r="D24" s="8">
        <f t="shared" ref="D24:D28" si="1">IF(C24&gt;45,24+(1.5*C24/$C$2),12*(C24-0.1)/(45-0.1)+12)</f>
        <v>20.151447661469934</v>
      </c>
      <c r="E24" s="5">
        <f>D24/24</f>
        <v>0.83964365256124729</v>
      </c>
    </row>
    <row r="25" spans="2:5" x14ac:dyDescent="0.35">
      <c r="B25" s="28">
        <v>24</v>
      </c>
      <c r="C25" s="25">
        <v>29.8</v>
      </c>
      <c r="D25" s="8">
        <f t="shared" si="1"/>
        <v>19.937639198218264</v>
      </c>
      <c r="E25" s="5">
        <f>D25/24</f>
        <v>0.83073496659242763</v>
      </c>
    </row>
    <row r="26" spans="2:5" x14ac:dyDescent="0.35">
      <c r="B26" s="28">
        <v>25</v>
      </c>
      <c r="C26" s="25">
        <v>29</v>
      </c>
      <c r="D26" s="8">
        <f t="shared" si="1"/>
        <v>19.72383073496659</v>
      </c>
      <c r="E26" s="5">
        <f>D26/24</f>
        <v>0.82182628062360796</v>
      </c>
    </row>
    <row r="27" spans="2:5" x14ac:dyDescent="0.35">
      <c r="B27" s="28">
        <v>26</v>
      </c>
      <c r="C27" s="25">
        <v>28.7</v>
      </c>
      <c r="D27" s="8">
        <f t="shared" si="1"/>
        <v>19.643652561247215</v>
      </c>
      <c r="E27" s="5">
        <f>D27/24</f>
        <v>0.81848552338530067</v>
      </c>
    </row>
    <row r="28" spans="2:5" x14ac:dyDescent="0.35">
      <c r="B28" s="28">
        <v>27</v>
      </c>
      <c r="C28" s="25">
        <v>28</v>
      </c>
      <c r="D28" s="8">
        <f t="shared" si="1"/>
        <v>19.456570155902003</v>
      </c>
      <c r="E28" s="5">
        <f>D28/24</f>
        <v>0.81069042316258344</v>
      </c>
    </row>
    <row r="29" spans="2:5" x14ac:dyDescent="0.35">
      <c r="B29" s="28">
        <v>28</v>
      </c>
      <c r="C29" s="25">
        <v>28</v>
      </c>
      <c r="D29" s="8">
        <f>IF(C29&gt;45,24+(1.5*C29/$C$2),12*(C29-0.1)/(45-0.1)+12)</f>
        <v>19.456570155902003</v>
      </c>
      <c r="E29" s="5">
        <f>D29/24</f>
        <v>0.81069042316258344</v>
      </c>
    </row>
    <row r="30" spans="2:5" x14ac:dyDescent="0.35">
      <c r="B30" s="28">
        <v>29</v>
      </c>
      <c r="C30" s="25">
        <v>27.8</v>
      </c>
      <c r="D30" s="8">
        <f>IF(C30&gt;45,24+(1.5*C30/$C$2),12*(C30-0.1)/(45-0.1)+12)</f>
        <v>19.403118040089087</v>
      </c>
      <c r="E30" s="5">
        <f>D30/24</f>
        <v>0.80846325167037858</v>
      </c>
    </row>
    <row r="31" spans="2:5" x14ac:dyDescent="0.35">
      <c r="B31" s="28">
        <v>30</v>
      </c>
      <c r="C31" s="25">
        <v>25.8</v>
      </c>
      <c r="D31" s="8">
        <f>IF(C31&gt;45,24+(1.5*C31/$C$2),12*(C31-0.1)/(45-0.1)+12)</f>
        <v>18.86859688195991</v>
      </c>
      <c r="E31" s="5">
        <f>D31/24</f>
        <v>0.78619153674832953</v>
      </c>
    </row>
    <row r="32" spans="2:5" x14ac:dyDescent="0.35">
      <c r="B32" s="28">
        <v>31</v>
      </c>
      <c r="C32" s="25">
        <v>24.3</v>
      </c>
      <c r="D32" s="8">
        <f>IF(C32&gt;45,24+(1.5*C32/$C$2),12*(C32-0.1)/(45-0.1)+12)</f>
        <v>18.467706013363028</v>
      </c>
      <c r="E32" s="5">
        <f>D32/24</f>
        <v>0.76948775055679286</v>
      </c>
    </row>
    <row r="33" spans="2:5" x14ac:dyDescent="0.35">
      <c r="B33" s="28">
        <v>32</v>
      </c>
      <c r="C33" s="25">
        <v>23.2</v>
      </c>
      <c r="D33" s="8">
        <f t="shared" ref="D33:D36" si="2">IF(C33&gt;45,24+(1.5*C33/$C$2),12*(C33-0.1)/(45-0.1)+12)</f>
        <v>18.173719376391983</v>
      </c>
      <c r="E33" s="5">
        <f>D33/24</f>
        <v>0.75723830734966591</v>
      </c>
    </row>
    <row r="34" spans="2:5" x14ac:dyDescent="0.35">
      <c r="B34" s="28">
        <v>33</v>
      </c>
      <c r="C34" s="25">
        <v>23</v>
      </c>
      <c r="D34" s="8">
        <f t="shared" si="2"/>
        <v>18.120267260579062</v>
      </c>
      <c r="E34" s="5">
        <f>D34/24</f>
        <v>0.75501113585746094</v>
      </c>
    </row>
    <row r="35" spans="2:5" x14ac:dyDescent="0.35">
      <c r="B35" s="28">
        <v>34</v>
      </c>
      <c r="C35" s="25">
        <v>22.5</v>
      </c>
      <c r="D35" s="8">
        <f t="shared" si="2"/>
        <v>17.986636971046771</v>
      </c>
      <c r="E35" s="5">
        <f>D35/24</f>
        <v>0.74944320712694878</v>
      </c>
    </row>
    <row r="36" spans="2:5" x14ac:dyDescent="0.35">
      <c r="B36" s="28">
        <v>35</v>
      </c>
      <c r="C36" s="25">
        <v>20</v>
      </c>
      <c r="D36" s="8">
        <f t="shared" si="2"/>
        <v>17.318485523385299</v>
      </c>
      <c r="E36" s="5">
        <f>D36/24</f>
        <v>0.72160356347438748</v>
      </c>
    </row>
    <row r="37" spans="2:5" x14ac:dyDescent="0.35">
      <c r="B37" s="28">
        <v>36</v>
      </c>
      <c r="C37" s="25">
        <v>20</v>
      </c>
      <c r="D37" s="8">
        <f>IF(C37&gt;45,24+(1.5*C37/$C$2),12*(C37-0.1)/(45-0.1)+12)</f>
        <v>17.318485523385299</v>
      </c>
      <c r="E37" s="5">
        <f>D37/24</f>
        <v>0.72160356347438748</v>
      </c>
    </row>
    <row r="38" spans="2:5" x14ac:dyDescent="0.35">
      <c r="B38" s="28">
        <v>37</v>
      </c>
      <c r="C38" s="25">
        <v>19.899999999999999</v>
      </c>
      <c r="D38" s="8">
        <f>IF(C38&gt;45,24+(1.5*C38/$C$2),12*(C38-0.1)/(45-0.1)+12)</f>
        <v>17.29175946547884</v>
      </c>
      <c r="E38" s="5">
        <f>D38/24</f>
        <v>0.72048997772828505</v>
      </c>
    </row>
    <row r="39" spans="2:5" x14ac:dyDescent="0.35">
      <c r="B39" s="28">
        <v>38</v>
      </c>
      <c r="C39" s="25">
        <v>18.3</v>
      </c>
      <c r="D39" s="8">
        <f>IF(C39&gt;45,24+(1.5*C39/$C$2),12*(C39-0.1)/(45-0.1)+12)</f>
        <v>16.8641425389755</v>
      </c>
      <c r="E39" s="5">
        <f>D39/24</f>
        <v>0.70267260579064583</v>
      </c>
    </row>
    <row r="40" spans="2:5" x14ac:dyDescent="0.35">
      <c r="B40" s="28">
        <v>39</v>
      </c>
      <c r="C40" s="25">
        <v>16.899999999999999</v>
      </c>
      <c r="D40" s="8">
        <f>IF(C40&gt;45,24+(1.5*C40/$C$2),12*(C40-0.1)/(45-0.1)+12)</f>
        <v>16.489977728285076</v>
      </c>
      <c r="E40" s="5">
        <f>D40/24</f>
        <v>0.68708240534521148</v>
      </c>
    </row>
    <row r="41" spans="2:5" x14ac:dyDescent="0.35">
      <c r="B41" s="28">
        <v>40</v>
      </c>
      <c r="C41" s="25">
        <v>16.600000000000001</v>
      </c>
      <c r="D41" s="8">
        <f t="shared" ref="D41:D48" si="3">IF(C41&gt;45,24+(1.5*C41/$C$2),12*(C41-0.1)/(45-0.1)+12)</f>
        <v>16.409799554565701</v>
      </c>
      <c r="E41" s="5">
        <f>D41/24</f>
        <v>0.68374164810690419</v>
      </c>
    </row>
    <row r="42" spans="2:5" x14ac:dyDescent="0.35">
      <c r="B42" s="28">
        <v>41</v>
      </c>
      <c r="C42" s="25">
        <v>15.7</v>
      </c>
      <c r="D42" s="8">
        <f t="shared" si="3"/>
        <v>16.169265033407573</v>
      </c>
      <c r="E42" s="5">
        <f>D42/24</f>
        <v>0.67371937639198221</v>
      </c>
    </row>
    <row r="43" spans="2:5" x14ac:dyDescent="0.35">
      <c r="B43" s="28">
        <v>42</v>
      </c>
      <c r="C43" s="25">
        <v>15</v>
      </c>
      <c r="D43" s="8">
        <f t="shared" si="3"/>
        <v>15.982182628062361</v>
      </c>
      <c r="E43" s="5">
        <f>D43/24</f>
        <v>0.66592427616926508</v>
      </c>
    </row>
    <row r="44" spans="2:5" x14ac:dyDescent="0.35">
      <c r="B44" s="28">
        <v>43</v>
      </c>
      <c r="C44" s="25">
        <v>15</v>
      </c>
      <c r="D44" s="8">
        <f t="shared" si="3"/>
        <v>15.982182628062361</v>
      </c>
      <c r="E44" s="5">
        <f>D44/24</f>
        <v>0.66592427616926508</v>
      </c>
    </row>
    <row r="45" spans="2:5" x14ac:dyDescent="0.35">
      <c r="B45" s="28">
        <v>44</v>
      </c>
      <c r="C45" s="25">
        <v>14.2</v>
      </c>
      <c r="D45" s="8">
        <f t="shared" si="3"/>
        <v>15.768374164810691</v>
      </c>
      <c r="E45" s="5">
        <f>D45/24</f>
        <v>0.65701559020044542</v>
      </c>
    </row>
    <row r="46" spans="2:5" x14ac:dyDescent="0.35">
      <c r="B46" s="28">
        <v>45</v>
      </c>
      <c r="C46" s="25">
        <v>14.1</v>
      </c>
      <c r="D46" s="8">
        <f t="shared" si="3"/>
        <v>15.741648106904233</v>
      </c>
      <c r="E46" s="5">
        <f>D46/24</f>
        <v>0.65590200445434299</v>
      </c>
    </row>
    <row r="47" spans="2:5" x14ac:dyDescent="0.35">
      <c r="B47" s="28">
        <v>46</v>
      </c>
      <c r="C47" s="25">
        <v>13.3</v>
      </c>
      <c r="D47" s="8">
        <f t="shared" si="3"/>
        <v>15.527839643652563</v>
      </c>
      <c r="E47" s="5">
        <f>D47/24</f>
        <v>0.64699331848552344</v>
      </c>
    </row>
    <row r="48" spans="2:5" x14ac:dyDescent="0.35">
      <c r="B48" s="28">
        <v>47</v>
      </c>
      <c r="C48" s="25">
        <v>11</v>
      </c>
      <c r="D48" s="8">
        <f t="shared" si="3"/>
        <v>14.913140311804009</v>
      </c>
      <c r="E48" s="5">
        <f>D48/24</f>
        <v>0.62138084632516699</v>
      </c>
    </row>
    <row r="49" spans="2:5" x14ac:dyDescent="0.35">
      <c r="B49" s="28">
        <v>48</v>
      </c>
      <c r="C49" s="25">
        <v>11</v>
      </c>
      <c r="D49" s="8">
        <f>IF(C49&gt;45,24+(1.5*C49/$C$2),12*(C49-0.1)/(45-0.1)+12)</f>
        <v>14.913140311804009</v>
      </c>
      <c r="E49" s="5">
        <f>D49/24</f>
        <v>0.62138084632516699</v>
      </c>
    </row>
    <row r="50" spans="2:5" x14ac:dyDescent="0.35">
      <c r="B50" s="28">
        <v>49</v>
      </c>
      <c r="C50" s="25">
        <v>10.3</v>
      </c>
      <c r="D50" s="8">
        <f>IF(C50&gt;45,24+(1.5*C50/$C$2),12*(C50-0.1)/(45-0.1)+12)</f>
        <v>14.726057906458799</v>
      </c>
      <c r="E50" s="5">
        <f>D50/24</f>
        <v>0.61358574610244998</v>
      </c>
    </row>
    <row r="51" spans="2:5" x14ac:dyDescent="0.35">
      <c r="B51" s="28">
        <v>50</v>
      </c>
      <c r="C51" s="25">
        <v>7.5</v>
      </c>
      <c r="D51" s="8">
        <f>IF(C51&gt;45,24+(1.5*C51/$C$2),12*(C51-0.1)/(45-0.1)+12)</f>
        <v>13.977728285077951</v>
      </c>
      <c r="E51" s="5">
        <f>D51/24</f>
        <v>0.58240534521158127</v>
      </c>
    </row>
    <row r="52" spans="2:5" x14ac:dyDescent="0.35">
      <c r="B52" s="28">
        <v>51</v>
      </c>
      <c r="C52" s="25">
        <v>5</v>
      </c>
      <c r="D52" s="8">
        <f>IF(C52&gt;45,24+(1.5*C52/$C$2),12*(C52-0.1)/(45-0.1)+12)</f>
        <v>13.309576837416481</v>
      </c>
      <c r="E52" s="5">
        <f>D52/24</f>
        <v>0.55456570155902007</v>
      </c>
    </row>
    <row r="53" spans="2:5" x14ac:dyDescent="0.35">
      <c r="B53" s="28">
        <v>52</v>
      </c>
      <c r="C53" s="25">
        <v>5</v>
      </c>
      <c r="D53" s="8">
        <f>IF(C53&gt;45,24+(1.5*C53/$C$2),12*(C53-0.1)/(45-0.1)+12)</f>
        <v>13.309576837416481</v>
      </c>
      <c r="E53" s="5">
        <f>D53/24</f>
        <v>0.55456570155902007</v>
      </c>
    </row>
    <row r="54" spans="2:5" x14ac:dyDescent="0.35">
      <c r="B54" s="28">
        <v>53</v>
      </c>
      <c r="C54" s="25">
        <v>3.9</v>
      </c>
      <c r="D54" s="8">
        <f>IF(C54&gt;45,24+(1.5*C54/$C$2),12*(C54-0.1)/(45-0.1)+12)</f>
        <v>13.015590200445434</v>
      </c>
      <c r="E54" s="5">
        <f>D54/24</f>
        <v>0.54231625835189312</v>
      </c>
    </row>
    <row r="55" spans="2:5" x14ac:dyDescent="0.35">
      <c r="B55" s="28">
        <v>54</v>
      </c>
      <c r="C55" s="25">
        <v>1</v>
      </c>
      <c r="D55" s="8">
        <f>IF(C55&gt;45,24+(1.5*C55/$C$2),12*(C55-0.1)/(45-0.1)+12)</f>
        <v>12.240534521158128</v>
      </c>
      <c r="E55" s="5">
        <f>D55/24</f>
        <v>0.51002227171492198</v>
      </c>
    </row>
    <row r="56" spans="2:5" x14ac:dyDescent="0.35">
      <c r="B56" s="28">
        <v>55</v>
      </c>
      <c r="C56" s="25">
        <v>0.5</v>
      </c>
      <c r="D56" s="8">
        <f>IF(C56&gt;45,24+(1.5*C56/$C$2),12*(C56-0.1)/(45-0.1)+12)</f>
        <v>12.106904231625835</v>
      </c>
      <c r="E56" s="5">
        <f>D56/24</f>
        <v>0.50445434298440983</v>
      </c>
    </row>
    <row r="57" spans="2:5" x14ac:dyDescent="0.35">
      <c r="B57" s="28">
        <v>56</v>
      </c>
      <c r="C57" s="25">
        <v>0.1</v>
      </c>
      <c r="D57" s="8">
        <f>IF(C57&gt;45,24+(1.5*C57/$C$2),12*(C57-0.1)/(45-0.1)+12)</f>
        <v>12</v>
      </c>
      <c r="E57" s="5">
        <f>D57/24</f>
        <v>0.5</v>
      </c>
    </row>
    <row r="58" spans="2:5" x14ac:dyDescent="0.35">
      <c r="B58" s="28">
        <v>57</v>
      </c>
      <c r="C58" s="25">
        <v>0</v>
      </c>
      <c r="D58" s="8">
        <f>IF(C58&gt;45,24+(1.5*C58/$C$2),12*(C58-0.1)/(45-0.1)+12)</f>
        <v>11.973273942093542</v>
      </c>
      <c r="E58" s="5">
        <f>D58/24</f>
        <v>0.49888641425389757</v>
      </c>
    </row>
    <row r="59" spans="2:5" x14ac:dyDescent="0.35">
      <c r="B59" s="28">
        <v>58</v>
      </c>
      <c r="C59" s="25">
        <v>0</v>
      </c>
      <c r="D59" s="8">
        <f>IF(C59&gt;45,24+(1.5*C59/$C$2),12*(C59-0.1)/(45-0.1)+12)</f>
        <v>11.973273942093542</v>
      </c>
      <c r="E59" s="5">
        <f>D59/24</f>
        <v>0.49888641425389757</v>
      </c>
    </row>
    <row r="60" spans="2:5" x14ac:dyDescent="0.35">
      <c r="B60" s="28">
        <v>59</v>
      </c>
      <c r="C60" s="25">
        <v>0</v>
      </c>
      <c r="D60" s="8">
        <f>IF(C60&gt;45,24+(1.5*C60/$C$2),12*(C60-0.1)/(45-0.1)+12)</f>
        <v>11.973273942093542</v>
      </c>
      <c r="E60" s="5">
        <f>D60/24</f>
        <v>0.49888641425389757</v>
      </c>
    </row>
    <row r="61" spans="2:5" x14ac:dyDescent="0.35">
      <c r="B61" s="28">
        <v>60</v>
      </c>
      <c r="C61" s="25">
        <v>0</v>
      </c>
      <c r="D61" s="8">
        <f>IF(C61&gt;45,24+(1.5*C61/$C$2),12*(C61-0.1)/(45-0.1)+12)</f>
        <v>11.973273942093542</v>
      </c>
      <c r="E61" s="5">
        <f>D61/24</f>
        <v>0.49888641425389757</v>
      </c>
    </row>
    <row r="62" spans="2:5" x14ac:dyDescent="0.35">
      <c r="B62" s="28">
        <v>61</v>
      </c>
      <c r="C62" s="25">
        <v>0</v>
      </c>
      <c r="D62" s="8">
        <f>IF(C62&gt;45,24+(1.5*C62/$C$2),12*(C62-0.1)/(45-0.1)+12)</f>
        <v>11.973273942093542</v>
      </c>
      <c r="E62" s="5">
        <f>D62/24</f>
        <v>0.49888641425389757</v>
      </c>
    </row>
    <row r="63" spans="2:5" ht="15" thickBot="1" x14ac:dyDescent="0.4">
      <c r="B63" s="29">
        <v>62</v>
      </c>
      <c r="C63" s="26">
        <v>0</v>
      </c>
      <c r="D63" s="9">
        <v>0</v>
      </c>
      <c r="E63" s="6">
        <f>D63/24</f>
        <v>0</v>
      </c>
    </row>
  </sheetData>
  <sortState xmlns:xlrd2="http://schemas.microsoft.com/office/spreadsheetml/2017/richdata2" ref="C2:E63">
    <sortCondition descending="1" ref="C2:C63"/>
  </sortState>
  <mergeCells count="4">
    <mergeCell ref="G2:H2"/>
    <mergeCell ref="I2:J2"/>
    <mergeCell ref="K2:L2"/>
    <mergeCell ref="M2:N2"/>
  </mergeCells>
  <conditionalFormatting sqref="E2:E6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Brown</dc:creator>
  <cp:lastModifiedBy>Aidan Brown</cp:lastModifiedBy>
  <dcterms:created xsi:type="dcterms:W3CDTF">2026-04-12T23:38:13Z</dcterms:created>
  <dcterms:modified xsi:type="dcterms:W3CDTF">2026-04-13T00:24:17Z</dcterms:modified>
</cp:coreProperties>
</file>