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aida\OneDrive\Documents\GitHub\Design_II_Group6\Trebuchet\WIPPER_TREBUCHET\"/>
    </mc:Choice>
  </mc:AlternateContent>
  <xr:revisionPtr revIDLastSave="0" documentId="13_ncr:1_{A72CCF89-F1EF-4B2A-9D13-0D6ED46A20EC}" xr6:coauthVersionLast="47" xr6:coauthVersionMax="47" xr10:uidLastSave="{00000000-0000-0000-0000-000000000000}"/>
  <bookViews>
    <workbookView xWindow="-110" yWindow="-110" windowWidth="19420" windowHeight="11500" xr2:uid="{B1667E68-D567-4D9D-8078-E1F59153EB2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2" i="1"/>
  <c r="C2" i="1"/>
  <c r="C4" i="1"/>
  <c r="C8" i="1" s="1"/>
  <c r="D6" i="1" s="1"/>
  <c r="D8" i="1" l="1"/>
  <c r="D10" i="1" s="1"/>
</calcChain>
</file>

<file path=xl/sharedStrings.xml><?xml version="1.0" encoding="utf-8"?>
<sst xmlns="http://schemas.openxmlformats.org/spreadsheetml/2006/main" count="13" uniqueCount="13">
  <si>
    <t>Ball weight g</t>
  </si>
  <si>
    <t>pop can g</t>
  </si>
  <si>
    <t xml:space="preserve">~potential </t>
  </si>
  <si>
    <t>~kinetic</t>
  </si>
  <si>
    <t>~optimal launch angle deg</t>
  </si>
  <si>
    <t>height CW</t>
  </si>
  <si>
    <t>height G-ARM</t>
  </si>
  <si>
    <t>Relistic kenetic</t>
  </si>
  <si>
    <t>efficency</t>
  </si>
  <si>
    <t>relistic dist F</t>
  </si>
  <si>
    <t>relistic dist M</t>
  </si>
  <si>
    <t>~ max dist M</t>
  </si>
  <si>
    <t>Relistic launch 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</si>
</sst>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0" xfId="0" applyBorder="1"/>
    <xf numFmtId="9" fontId="0" fillId="0" borderId="3" xfId="1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4248A-62A3-4482-9A35-E5086BE9D667}">
  <dimension ref="A1:D10"/>
  <sheetViews>
    <sheetView tabSelected="1" workbookViewId="0">
      <selection activeCell="C6" sqref="C6"/>
    </sheetView>
  </sheetViews>
  <sheetFormatPr defaultRowHeight="14.5" x14ac:dyDescent="0.35"/>
  <cols>
    <col min="1" max="1" width="13.453125" customWidth="1"/>
    <col min="2" max="2" width="11.54296875" customWidth="1"/>
    <col min="3" max="3" width="13.90625" customWidth="1"/>
    <col min="4" max="4" width="23.08984375" customWidth="1"/>
  </cols>
  <sheetData>
    <row r="1" spans="1:4" x14ac:dyDescent="0.35">
      <c r="A1" s="9" t="s">
        <v>0</v>
      </c>
      <c r="B1" s="12" t="s">
        <v>5</v>
      </c>
      <c r="C1" s="9" t="s">
        <v>2</v>
      </c>
      <c r="D1" s="13" t="s">
        <v>4</v>
      </c>
    </row>
    <row r="2" spans="1:4" ht="15" thickBot="1" x14ac:dyDescent="0.4">
      <c r="A2" s="10">
        <v>2.3E-2</v>
      </c>
      <c r="B2" s="17">
        <v>1.675</v>
      </c>
      <c r="C2" s="16">
        <f>A4*9.81*B2</f>
        <v>14.049146250000002</v>
      </c>
      <c r="D2" s="14">
        <f>DEGREES(ASIN(1/(SQRT(2+((2*9.891*B4)/(C4^2))))))</f>
        <v>44.554723439812747</v>
      </c>
    </row>
    <row r="3" spans="1:4" x14ac:dyDescent="0.35">
      <c r="A3" s="10" t="s">
        <v>1</v>
      </c>
      <c r="B3" s="9" t="s">
        <v>6</v>
      </c>
      <c r="C3" s="9" t="s">
        <v>3</v>
      </c>
      <c r="D3" s="14" t="s">
        <v>11</v>
      </c>
    </row>
    <row r="4" spans="1:4" ht="15" thickBot="1" x14ac:dyDescent="0.4">
      <c r="A4" s="11">
        <v>0.85499999999999998</v>
      </c>
      <c r="B4" s="11">
        <v>1.95</v>
      </c>
      <c r="C4" s="11">
        <f>SQRT((C2*2)/A2)</f>
        <v>34.952323117417357</v>
      </c>
      <c r="D4" s="15">
        <f>((C4*COS(RADIANS(D2)))/9.81)*((C4*SIN(RADIANS(D2)))+(SQRT(((C4*SIN(RADIANS(D2)))^2)+(2*9.81*B4))))</f>
        <v>126.46757512811377</v>
      </c>
    </row>
    <row r="5" spans="1:4" x14ac:dyDescent="0.35">
      <c r="A5" s="7"/>
      <c r="B5" s="7"/>
      <c r="C5" s="1" t="s">
        <v>8</v>
      </c>
      <c r="D5" s="2" t="s">
        <v>12</v>
      </c>
    </row>
    <row r="6" spans="1:4" x14ac:dyDescent="0.35">
      <c r="A6" s="7"/>
      <c r="B6" s="7"/>
      <c r="C6" s="8">
        <v>0.5</v>
      </c>
      <c r="D6" s="4">
        <f>DEGREES(ASIN(1/(SQRT(2+((2*9.891*B4)/(C8^2))))))</f>
        <v>43.297308482277941</v>
      </c>
    </row>
    <row r="7" spans="1:4" x14ac:dyDescent="0.35">
      <c r="A7" s="7"/>
      <c r="B7" s="7"/>
      <c r="C7" s="3" t="s">
        <v>7</v>
      </c>
      <c r="D7" s="4" t="s">
        <v>10</v>
      </c>
    </row>
    <row r="8" spans="1:4" x14ac:dyDescent="0.35">
      <c r="A8" s="7"/>
      <c r="B8" s="7"/>
      <c r="C8" s="3">
        <f>C4*C6</f>
        <v>17.476161558708679</v>
      </c>
      <c r="D8" s="4">
        <f>((C8*COS(RADIANS(D2)))/9.81)*((C8*SIN(RADIANS(D2)))+(SQRT(((C8*SIN(RADIANS(D2)))^2)+(2*9.81*B4))))</f>
        <v>32.997795866177142</v>
      </c>
    </row>
    <row r="9" spans="1:4" x14ac:dyDescent="0.35">
      <c r="A9" s="7"/>
      <c r="B9" s="7"/>
      <c r="C9" s="3"/>
      <c r="D9" s="4" t="s">
        <v>9</v>
      </c>
    </row>
    <row r="10" spans="1:4" ht="15" thickBot="1" x14ac:dyDescent="0.4">
      <c r="A10" s="7"/>
      <c r="B10" s="7"/>
      <c r="C10" s="5"/>
      <c r="D10" s="6">
        <f>3.28084*D8</f>
        <v>108.26048858958862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Aidan Brown</dc:creator>
  <cp:lastModifiedBy>Aidan Brown</cp:lastModifiedBy>
  <dcterms:created xsi:type="dcterms:W3CDTF">2026-02-17T01:44:31Z</dcterms:created>
  <dcterms:modified xsi:type="dcterms:W3CDTF">2026-02-25T02:52:13Z</dcterms:modified>
</cp:coreProperties>
</file>