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aida\OneDrive\Documents\GitHub\Design_II_Group6\Trebuchet\WIPPER_TREBUCHET\"/>
    </mc:Choice>
  </mc:AlternateContent>
  <xr:revisionPtr revIDLastSave="0" documentId="13_ncr:1_{006F5D52-85A0-40B2-A6C4-BD97FE57FE60}" xr6:coauthVersionLast="47" xr6:coauthVersionMax="47" xr10:uidLastSave="{00000000-0000-0000-0000-000000000000}"/>
  <bookViews>
    <workbookView xWindow="28680" yWindow="-120" windowWidth="29040" windowHeight="15720" xr2:uid="{B1667E68-D567-4D9D-8078-E1F59153E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C2" i="1" s="1"/>
  <c r="C4" i="1" s="1"/>
  <c r="D2" i="1" l="1"/>
  <c r="D4" i="1" s="1"/>
</calcChain>
</file>

<file path=xl/sharedStrings.xml><?xml version="1.0" encoding="utf-8"?>
<sst xmlns="http://schemas.openxmlformats.org/spreadsheetml/2006/main" count="8" uniqueCount="8">
  <si>
    <t>Ball weight g</t>
  </si>
  <si>
    <t>pop can g</t>
  </si>
  <si>
    <t xml:space="preserve">~potential </t>
  </si>
  <si>
    <t>~kinetic</t>
  </si>
  <si>
    <t>~ max dist m</t>
  </si>
  <si>
    <t>~optimal launch angle deg</t>
  </si>
  <si>
    <t>height CW</t>
  </si>
  <si>
    <t>height G-ARM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</si>
</sst>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248A-62A3-4482-9A35-E5086BE9D667}">
  <dimension ref="A1:D5"/>
  <sheetViews>
    <sheetView tabSelected="1" workbookViewId="0">
      <selection activeCell="D15" sqref="D15"/>
    </sheetView>
  </sheetViews>
  <sheetFormatPr defaultRowHeight="14.5" x14ac:dyDescent="0.35"/>
  <cols>
    <col min="1" max="1" width="13.453125" customWidth="1"/>
    <col min="2" max="2" width="11.54296875" customWidth="1"/>
    <col min="3" max="3" width="10" customWidth="1"/>
    <col min="4" max="4" width="23.08984375" customWidth="1"/>
  </cols>
  <sheetData>
    <row r="1" spans="1:4" x14ac:dyDescent="0.35">
      <c r="A1" t="s">
        <v>0</v>
      </c>
      <c r="B1" t="s">
        <v>6</v>
      </c>
      <c r="C1" t="s">
        <v>2</v>
      </c>
      <c r="D1" t="s">
        <v>5</v>
      </c>
    </row>
    <row r="2" spans="1:4" x14ac:dyDescent="0.35">
      <c r="A2">
        <v>2.3E-2</v>
      </c>
      <c r="B2">
        <v>1.6</v>
      </c>
      <c r="C2">
        <f>A5*9.81*B2</f>
        <v>13.420080000000002</v>
      </c>
      <c r="D2">
        <f>DEGREES(ASIN(1/(SQRT(2+((2*9.891*B4)/(C4^2))))))</f>
        <v>44.522442837796945</v>
      </c>
    </row>
    <row r="3" spans="1:4" x14ac:dyDescent="0.35">
      <c r="A3" t="s">
        <v>1</v>
      </c>
      <c r="B3" t="s">
        <v>7</v>
      </c>
      <c r="C3" t="s">
        <v>3</v>
      </c>
      <c r="D3" t="s">
        <v>4</v>
      </c>
    </row>
    <row r="4" spans="1:4" x14ac:dyDescent="0.35">
      <c r="A4">
        <v>0.28499999999999998</v>
      </c>
      <c r="B4">
        <v>2</v>
      </c>
      <c r="C4">
        <f>SQRT((C2*2)/A2)</f>
        <v>34.160847153735368</v>
      </c>
      <c r="D4">
        <f>((C4*COS(RADIANS(D2)))/9.81)*((C4*SIN(RADIANS(D2)))+(SQRT(((C4*SIN(RADIANS(D2)))^2)+(2*9.81*B4))))</f>
        <v>120.93998468682148</v>
      </c>
    </row>
    <row r="5" spans="1:4" x14ac:dyDescent="0.35">
      <c r="A5">
        <f>A4*3</f>
        <v>0.85499999999999998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Brown</dc:creator>
  <cp:lastModifiedBy>Aidan Brown</cp:lastModifiedBy>
  <dcterms:created xsi:type="dcterms:W3CDTF">2026-02-17T01:44:31Z</dcterms:created>
  <dcterms:modified xsi:type="dcterms:W3CDTF">2026-02-17T03:28:45Z</dcterms:modified>
</cp:coreProperties>
</file>